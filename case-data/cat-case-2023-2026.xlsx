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160" windowHeight="7110" tabRatio="600" firstSheet="0" activeTab="0" autoFilterDateGrouping="1"/>
  </bookViews>
  <sheets>
    <sheet name="详情" sheetId="1" state="visible" r:id="rId1"/>
  </sheets>
  <definedNames>
    <definedName name="CIQWBGuid" hidden="1">"80969c38-dd28-440e-9e1d-4a34d6ad2290"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43726.4439351852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9"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Arial Unicode MS"/>
      <charset val="134"/>
      <family val="2"/>
      <b val="1"/>
      <color theme="1"/>
      <sz val="11"/>
    </font>
    <font>
      <name val="宋体"/>
      <charset val="134"/>
      <family val="2"/>
      <sz val="9"/>
      <scheme val="minor"/>
    </font>
    <font>
      <name val="宋体"/>
      <charset val="134"/>
      <family val="2"/>
      <color theme="1"/>
      <sz val="9"/>
      <scheme val="minor"/>
    </font>
    <font>
      <name val="Arial Unicode MS"/>
      <charset val="134"/>
      <family val="2"/>
      <color theme="1"/>
      <sz val="11"/>
    </font>
    <font>
      <name val="宋体"/>
      <charset val="134"/>
      <family val="3"/>
      <color theme="1"/>
      <sz val="9"/>
      <scheme val="minor"/>
    </font>
    <font>
      <name val="Arial Unicode MS"/>
      <charset val="134"/>
      <family val="2"/>
      <color rgb="FFFF0000"/>
      <sz val="11"/>
    </font>
    <font>
      <name val="Arial Unicode MS"/>
      <charset val="134"/>
      <family val="2"/>
      <sz val="11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lightGray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14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9" fontId="5" fillId="0" borderId="0" applyAlignment="1" pivotButton="0" quotePrefix="0" xfId="1">
      <alignment horizontal="right" vertical="center"/>
    </xf>
    <xf numFmtId="164" fontId="5" fillId="3" borderId="5" applyAlignment="1" pivotButton="0" quotePrefix="0" xfId="0">
      <alignment horizontal="center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center" vertical="center"/>
    </xf>
    <xf numFmtId="2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2" fontId="7" fillId="0" borderId="0" applyAlignment="1" pivotButton="0" quotePrefix="0" xfId="0">
      <alignment horizontal="right" vertical="center"/>
    </xf>
    <xf numFmtId="9" fontId="8" fillId="0" borderId="0" applyAlignment="1" pivotButton="0" quotePrefix="0" xfId="1">
      <alignment horizontal="right" vertical="center"/>
    </xf>
    <xf numFmtId="1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9" fontId="7" fillId="0" borderId="0" applyAlignment="1" pivotButton="0" quotePrefix="0" xfId="1">
      <alignment horizontal="right" vertical="center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64" fontId="5" fillId="3" borderId="0" applyAlignment="1" pivotButton="0" quotePrefix="0" xfId="0">
      <alignment horizontal="right" vertical="center"/>
    </xf>
    <xf numFmtId="164" fontId="5" fillId="3" borderId="5" applyAlignment="1" pivotButton="0" quotePrefix="0" xfId="0">
      <alignment horizontal="center" vertical="center"/>
    </xf>
    <xf numFmtId="0" fontId="0" fillId="0" borderId="5" pivotButton="0" quotePrefix="0" xfId="0"/>
    <xf numFmtId="164" fontId="5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right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tabSelected="1" topLeftCell="A13" zoomScale="55" zoomScaleNormal="55" workbookViewId="0">
      <selection activeCell="L30" sqref="L30"/>
    </sheetView>
  </sheetViews>
  <sheetFormatPr baseColWidth="8" defaultRowHeight="14"/>
  <cols>
    <col width="13.26953125" customWidth="1" style="34" min="1" max="1"/>
    <col width="11.08984375" bestFit="1" customWidth="1" style="36" min="2" max="2"/>
    <col width="26.7265625" customWidth="1" style="36" min="7" max="7"/>
    <col width="13.81640625" customWidth="1" style="36" min="11" max="11"/>
    <col width="13.6328125" customWidth="1" style="36" min="12" max="12"/>
    <col width="53" customWidth="1" style="36" min="13" max="13"/>
    <col width="43" customWidth="1" style="36" min="15" max="15"/>
    <col width="15.6328125" bestFit="1" customWidth="1" style="36" min="16" max="16"/>
  </cols>
  <sheetData>
    <row r="1" ht="16.5" customHeight="1" s="36">
      <c r="A1" s="1" t="inlineStr">
        <is>
          <t>病史</t>
        </is>
      </c>
      <c r="B1" s="1" t="inlineStr">
        <is>
          <t>日期</t>
        </is>
      </c>
      <c r="C1" s="6" t="inlineStr">
        <is>
          <t>生化</t>
        </is>
      </c>
      <c r="D1" s="37" t="n"/>
      <c r="E1" s="37" t="n"/>
      <c r="F1" s="37" t="n"/>
      <c r="G1" s="38" t="n"/>
      <c r="H1" s="5" t="inlineStr">
        <is>
          <t>血常规</t>
        </is>
      </c>
      <c r="I1" s="6" t="inlineStr">
        <is>
          <t>血气</t>
        </is>
      </c>
      <c r="J1" s="38" t="n"/>
      <c r="K1" s="6" t="inlineStr">
        <is>
          <t>超声</t>
        </is>
      </c>
      <c r="L1" s="37" t="n"/>
      <c r="M1" s="38" t="n"/>
      <c r="N1" s="6" t="inlineStr">
        <is>
          <t>体重
(kg)</t>
        </is>
      </c>
      <c r="O1" s="6" t="inlineStr">
        <is>
          <t>补充检查</t>
        </is>
      </c>
      <c r="P1" s="6" t="inlineStr">
        <is>
          <t>用药</t>
        </is>
      </c>
      <c r="Q1" s="6" t="inlineStr">
        <is>
          <t>医院</t>
        </is>
      </c>
    </row>
    <row r="2" ht="49.5" customHeight="1" s="36">
      <c r="A2" s="39" t="n"/>
      <c r="B2" s="39" t="n"/>
      <c r="C2" s="5" t="inlineStr">
        <is>
          <t>肌酐
(μmol/L)</t>
        </is>
      </c>
      <c r="D2" s="5" t="inlineStr">
        <is>
          <t>尿素氮
(mg/dL)</t>
        </is>
      </c>
      <c r="E2" s="5" t="inlineStr">
        <is>
          <t>总钙
(mmol/L)</t>
        </is>
      </c>
      <c r="F2" s="5" t="inlineStr">
        <is>
          <t>总磷
(mmol/L)</t>
        </is>
      </c>
      <c r="G2" s="5" t="inlineStr">
        <is>
          <t>其他异常项</t>
        </is>
      </c>
      <c r="H2" s="5" t="inlineStr">
        <is>
          <t>HCT
(%)</t>
        </is>
      </c>
      <c r="I2" s="5" t="inlineStr">
        <is>
          <t>钙离子
(mmol/L)</t>
        </is>
      </c>
      <c r="J2" s="5" t="inlineStr">
        <is>
          <t>钾离子
(mmol/L)</t>
        </is>
      </c>
      <c r="K2" s="5" t="inlineStr">
        <is>
          <t>左肾</t>
        </is>
      </c>
      <c r="L2" s="5" t="inlineStr">
        <is>
          <t>右肾</t>
        </is>
      </c>
      <c r="M2" s="5" t="inlineStr">
        <is>
          <t>其他指征</t>
        </is>
      </c>
      <c r="N2" s="39" t="n"/>
      <c r="O2" s="39" t="n"/>
      <c r="P2" s="39" t="n"/>
      <c r="Q2" s="39" t="n"/>
    </row>
    <row r="3" ht="16.5" customHeight="1" s="36">
      <c r="A3" s="7" t="inlineStr">
        <is>
          <t xml:space="preserve">
2次桡尺骨骨折手术，2次拆板</t>
        </is>
      </c>
      <c r="B3" s="8" t="n">
        <v>45233</v>
      </c>
      <c r="C3" s="9" t="n">
        <v>219.7</v>
      </c>
      <c r="D3" s="9" t="n">
        <v>32.48955792896589</v>
      </c>
      <c r="E3" s="40" t="n"/>
      <c r="F3" s="40" t="n"/>
      <c r="G3" s="11" t="inlineStr">
        <is>
          <t>GLU11.29;ALT608;CK6007</t>
        </is>
      </c>
      <c r="H3" s="12" t="n">
        <v>0.365</v>
      </c>
      <c r="I3" s="41" t="inlineStr">
        <is>
          <t>未检查</t>
        </is>
      </c>
      <c r="J3" s="42" t="n"/>
      <c r="K3" s="42" t="n"/>
      <c r="L3" s="42" t="n"/>
      <c r="M3" s="42" t="n"/>
      <c r="N3" s="14" t="n">
        <v>3.6</v>
      </c>
      <c r="O3" s="15" t="inlineStr">
        <is>
          <t>DR</t>
        </is>
      </c>
      <c r="P3" s="15" t="n"/>
      <c r="Q3" s="0" t="inlineStr">
        <is>
          <t>浦东康诚</t>
        </is>
      </c>
    </row>
    <row r="4" ht="16.5" customHeight="1" s="36">
      <c r="B4" s="8" t="n">
        <v>45236</v>
      </c>
      <c r="C4" s="17" t="n">
        <v>427</v>
      </c>
      <c r="D4" s="17" t="n">
        <v>90.54466963810164</v>
      </c>
      <c r="E4" s="40" t="n"/>
      <c r="F4" s="40" t="n"/>
      <c r="G4" s="11" t="inlineStr">
        <is>
          <t>ALT608</t>
        </is>
      </c>
      <c r="H4" s="12" t="n">
        <v>0.302</v>
      </c>
      <c r="N4" s="14" t="n">
        <v>3.6</v>
      </c>
      <c r="O4" s="15" t="inlineStr">
        <is>
          <t>DR</t>
        </is>
      </c>
      <c r="P4" s="15" t="inlineStr">
        <is>
          <t>美洛昔康2周</t>
        </is>
      </c>
      <c r="Q4" s="0" t="inlineStr">
        <is>
          <t>浦东康诚</t>
        </is>
      </c>
    </row>
    <row r="5" ht="16.5" customHeight="1" s="36">
      <c r="B5" s="8" t="n">
        <v>45239</v>
      </c>
      <c r="C5" s="9" t="n">
        <v>114</v>
      </c>
      <c r="D5" s="9" t="n">
        <v>20.18333193171306</v>
      </c>
      <c r="E5" s="40" t="n"/>
      <c r="F5" s="11" t="n">
        <v>1.25</v>
      </c>
      <c r="G5" s="11" t="n"/>
      <c r="H5" s="12" t="n">
        <v>0.377</v>
      </c>
      <c r="I5" s="40" t="n"/>
      <c r="J5" s="11" t="n">
        <v>3.3</v>
      </c>
      <c r="K5" s="43" t="inlineStr">
        <is>
          <t>术后未检查</t>
        </is>
      </c>
      <c r="N5" s="19" t="n">
        <v>2.4</v>
      </c>
      <c r="O5" s="15" t="inlineStr">
        <is>
          <t>SAA&gt;200,术中药敏假中间葡萄球菌</t>
        </is>
      </c>
      <c r="P5" s="15" t="n"/>
      <c r="Q5" s="0" t="inlineStr">
        <is>
          <t>浦东康诚</t>
        </is>
      </c>
    </row>
    <row r="6" ht="16.5" customHeight="1" s="36">
      <c r="A6" s="20" t="inlineStr">
        <is>
          <t>第3次桡尺骨骨折手术
第3次拆板
CKD</t>
        </is>
      </c>
      <c r="B6" s="8" t="n">
        <v>45328</v>
      </c>
      <c r="C6" s="9" t="n">
        <v>174</v>
      </c>
      <c r="D6" s="9" t="n">
        <v>56.06481092142517</v>
      </c>
      <c r="E6" s="43" t="inlineStr">
        <is>
          <t>手术前后未检查，DR复查未检查</t>
        </is>
      </c>
      <c r="H6" s="12" t="n">
        <v>0.415</v>
      </c>
      <c r="I6" s="43" t="inlineStr">
        <is>
          <t>手术前后未检查，DR复查未检查</t>
        </is>
      </c>
      <c r="N6" s="14" t="n">
        <v>3.05</v>
      </c>
      <c r="O6" s="15" t="inlineStr">
        <is>
          <t>SAA1.14</t>
        </is>
      </c>
      <c r="P6" s="15" t="inlineStr">
        <is>
          <t>阿米卡星2周</t>
        </is>
      </c>
      <c r="Q6" s="0" t="inlineStr">
        <is>
          <t>领华</t>
        </is>
      </c>
    </row>
    <row r="7" ht="16.5" customHeight="1" s="36">
      <c r="B7" s="8" t="n">
        <v>45375</v>
      </c>
      <c r="C7" s="9" t="n">
        <v>188</v>
      </c>
      <c r="D7" s="9" t="n">
        <v>66.71712499649595</v>
      </c>
      <c r="H7" s="12" t="n">
        <v>0.393</v>
      </c>
      <c r="N7" s="14" t="n">
        <v>3.3</v>
      </c>
      <c r="O7" s="15" t="n"/>
      <c r="P7" s="15" t="inlineStr">
        <is>
          <t>美洛昔康2周</t>
        </is>
      </c>
      <c r="Q7" s="0" t="inlineStr">
        <is>
          <t>领华</t>
        </is>
      </c>
    </row>
    <row r="8" ht="16.5" customHeight="1" s="36">
      <c r="B8" s="8" t="n">
        <v>45496</v>
      </c>
      <c r="C8" s="9" t="n">
        <v>213</v>
      </c>
      <c r="D8" s="9" t="n">
        <v>45</v>
      </c>
      <c r="E8" s="11" t="n">
        <v>2.25</v>
      </c>
      <c r="F8" s="11" t="n">
        <v>1.33</v>
      </c>
      <c r="G8" s="11" t="inlineStr">
        <is>
          <t>SDMA20</t>
        </is>
      </c>
      <c r="H8" s="40" t="n"/>
      <c r="I8" s="40" t="n"/>
      <c r="J8" s="11" t="n">
        <v>4</v>
      </c>
      <c r="K8" s="11" t="n">
        <v>3.51</v>
      </c>
      <c r="L8" s="11" t="n">
        <v>3.29</v>
      </c>
      <c r="M8" s="11" t="inlineStr">
        <is>
          <t>正常</t>
        </is>
      </c>
      <c r="N8" s="14" t="n">
        <v>3.55</v>
      </c>
      <c r="O8" s="15" t="inlineStr">
        <is>
          <t>SDMA20,术中药敏无菌</t>
        </is>
      </c>
      <c r="P8" s="15" t="inlineStr">
        <is>
          <t>速诺6个月</t>
        </is>
      </c>
      <c r="Q8" s="0" t="inlineStr">
        <is>
          <t>领华</t>
        </is>
      </c>
    </row>
    <row r="9" ht="16.5" customHeight="1" s="36">
      <c r="B9" s="8" t="n">
        <v>45499</v>
      </c>
      <c r="C9" s="9" t="n">
        <v>145</v>
      </c>
      <c r="D9" s="9" t="n">
        <v>24.9488408600342</v>
      </c>
      <c r="E9" s="43" t="inlineStr">
        <is>
          <t>术后未检查</t>
        </is>
      </c>
      <c r="N9" s="14" t="n">
        <v>3.55</v>
      </c>
      <c r="O9" s="15" t="n"/>
      <c r="P9" s="15" t="n"/>
      <c r="Q9" s="0" t="inlineStr">
        <is>
          <t>领华</t>
        </is>
      </c>
    </row>
    <row r="10" ht="16.5" customHeight="1" s="36">
      <c r="B10" s="8" t="n">
        <v>45531</v>
      </c>
      <c r="C10" s="21">
        <f>2.3*88.4</f>
        <v/>
      </c>
      <c r="D10" s="21" t="n">
        <v>53</v>
      </c>
      <c r="E10" s="22">
        <f>10.1*0.25</f>
        <v/>
      </c>
      <c r="F10" s="23">
        <f>5.4*0.3229</f>
        <v/>
      </c>
      <c r="G10" s="11" t="inlineStr">
        <is>
          <t>胆固醇230</t>
        </is>
      </c>
      <c r="H10" s="24" t="n">
        <v>0.438</v>
      </c>
      <c r="I10" s="40" t="n"/>
      <c r="J10" s="40" t="n"/>
      <c r="K10" s="11" t="n">
        <v>3.19</v>
      </c>
      <c r="L10" s="11" t="n">
        <v>3.23</v>
      </c>
      <c r="M10" s="11" t="inlineStr">
        <is>
          <t>正常</t>
        </is>
      </c>
      <c r="N10" s="14" t="n">
        <v>3.7</v>
      </c>
      <c r="O10" s="15" t="inlineStr">
        <is>
          <t>SAA6.32,UPC&lt;0.2,SG1.019,血压正常，SDMA10</t>
        </is>
      </c>
      <c r="P10" s="15" t="n"/>
      <c r="Q10" s="0" t="inlineStr">
        <is>
          <t>盛泰</t>
        </is>
      </c>
    </row>
    <row r="11" ht="16.5" customHeight="1" s="36">
      <c r="A11" s="20" t="inlineStr">
        <is>
          <t>第4次桡尺骨骨折手术，骨板保留</t>
        </is>
      </c>
      <c r="B11" s="8" t="n">
        <v>45548</v>
      </c>
      <c r="C11" s="21" t="n">
        <v>256.1</v>
      </c>
      <c r="D11" s="21" t="n">
        <v>47.03837636307572</v>
      </c>
      <c r="E11" s="22" t="n">
        <v>2.62</v>
      </c>
      <c r="F11" s="22" t="n">
        <v>1.4</v>
      </c>
      <c r="G11" s="22" t="n"/>
      <c r="H11" s="25" t="inlineStr">
        <is>
          <t>未检查</t>
        </is>
      </c>
      <c r="N11" s="14" t="n">
        <v>3.7</v>
      </c>
      <c r="O11" s="15" t="n"/>
      <c r="P11" s="15" t="inlineStr">
        <is>
          <t>万古霉素3周</t>
        </is>
      </c>
      <c r="Q11" s="0" t="inlineStr">
        <is>
          <t>盛泰</t>
        </is>
      </c>
    </row>
    <row r="12" ht="16.5" customHeight="1" s="36">
      <c r="B12" s="8" t="n">
        <v>45559</v>
      </c>
      <c r="C12" s="21" t="n">
        <v>247</v>
      </c>
      <c r="D12" s="21" t="n">
        <v>42.88958035489026</v>
      </c>
      <c r="E12" s="22" t="n">
        <v>2.58</v>
      </c>
      <c r="F12" s="22" t="n">
        <v>1.32</v>
      </c>
      <c r="G12" s="22" t="n"/>
      <c r="H12" s="24" t="n">
        <v>0.398</v>
      </c>
      <c r="I12" s="40" t="n"/>
      <c r="J12" s="40" t="n"/>
      <c r="K12" s="11" t="n">
        <v>3.32</v>
      </c>
      <c r="L12" s="11" t="n">
        <v>3.18</v>
      </c>
      <c r="M12" s="15" t="inlineStr">
        <is>
          <t>左肾肾盂扩张（报告未提）</t>
        </is>
      </c>
      <c r="N12" s="14" t="n">
        <v>3.6</v>
      </c>
      <c r="O12" s="15" t="inlineStr">
        <is>
          <t>SAA10,术中药敏革兰阳性球菌</t>
        </is>
      </c>
      <c r="P12" s="15" t="inlineStr">
        <is>
          <t>美洛昔康2周</t>
        </is>
      </c>
      <c r="Q12" s="0" t="inlineStr">
        <is>
          <t>盛泰</t>
        </is>
      </c>
    </row>
    <row r="13" ht="16.5" customHeight="1" s="36">
      <c r="B13" s="8" t="n">
        <v>45565</v>
      </c>
      <c r="C13" s="21" t="n">
        <v>247.6</v>
      </c>
      <c r="D13" s="21" t="n">
        <v>25.70571580747344</v>
      </c>
      <c r="E13" s="22" t="n">
        <v>2.66</v>
      </c>
      <c r="F13" s="22" t="n">
        <v>1.32</v>
      </c>
      <c r="G13" s="22" t="n"/>
      <c r="H13" s="24" t="n">
        <v>0.324</v>
      </c>
      <c r="I13" s="43" t="inlineStr">
        <is>
          <t>术后未检查</t>
        </is>
      </c>
      <c r="N13" s="14" t="n">
        <v>3.2</v>
      </c>
      <c r="O13" s="15" t="n"/>
      <c r="P13" s="15" t="n"/>
      <c r="Q13" s="0" t="inlineStr">
        <is>
          <t>盛泰</t>
        </is>
      </c>
    </row>
    <row r="14" ht="16.5" customHeight="1" s="36">
      <c r="B14" s="8" t="n">
        <v>45605</v>
      </c>
      <c r="C14" s="21" t="n">
        <v>225.9</v>
      </c>
      <c r="D14" s="21" t="n">
        <v>62.40013455554622</v>
      </c>
      <c r="E14" s="22" t="n">
        <v>2.81</v>
      </c>
      <c r="F14" s="22" t="n">
        <v>1.36</v>
      </c>
      <c r="G14" s="22" t="n"/>
      <c r="H14" s="24" t="n">
        <v>0.41</v>
      </c>
      <c r="I14" s="22" t="n">
        <v>1.32</v>
      </c>
      <c r="J14" s="11" t="n"/>
      <c r="K14" s="25" t="inlineStr">
        <is>
          <t>未检查</t>
        </is>
      </c>
      <c r="N14" s="14" t="n">
        <v>3.4</v>
      </c>
      <c r="O14" s="15" t="n"/>
      <c r="P14" s="15" t="n"/>
      <c r="Q14" s="0" t="inlineStr">
        <is>
          <t>盛泰</t>
        </is>
      </c>
    </row>
    <row r="15" ht="16.5" customHeight="1" s="36">
      <c r="B15" s="8" t="n">
        <v>45633</v>
      </c>
      <c r="C15" s="21">
        <f>2.5*88.4</f>
        <v/>
      </c>
      <c r="D15" s="21" t="n">
        <v>67</v>
      </c>
      <c r="E15" s="22">
        <f>10.9*0.25</f>
        <v/>
      </c>
      <c r="F15" s="22">
        <f>4.5*0.3229</f>
        <v/>
      </c>
      <c r="G15" s="22" t="n"/>
      <c r="H15" s="44" t="n"/>
      <c r="I15" s="22" t="n">
        <v>1.26</v>
      </c>
      <c r="J15" s="11" t="n">
        <v>4.1</v>
      </c>
      <c r="K15" s="25" t="inlineStr">
        <is>
          <t>未检查</t>
        </is>
      </c>
      <c r="N15" s="27" t="n">
        <v>3.44</v>
      </c>
      <c r="O15" s="15" t="inlineStr">
        <is>
          <t>抗体检查</t>
        </is>
      </c>
      <c r="P15" s="15" t="n"/>
      <c r="Q15" s="0" t="inlineStr">
        <is>
          <t>盛泰</t>
        </is>
      </c>
    </row>
    <row r="16" ht="16.5" customHeight="1" s="36">
      <c r="A16" s="20" t="inlineStr">
        <is>
          <t>疑似FIC</t>
        </is>
      </c>
      <c r="B16" s="8" t="n">
        <v>45639</v>
      </c>
      <c r="C16" s="21">
        <f>2.84*88.4</f>
        <v/>
      </c>
      <c r="D16" s="21" t="n">
        <v>56.8</v>
      </c>
      <c r="E16" s="23">
        <f>12.3*0.25</f>
        <v/>
      </c>
      <c r="F16" s="22">
        <f>5/3.1</f>
        <v/>
      </c>
      <c r="G16" s="22" t="n"/>
      <c r="H16" s="24" t="n">
        <v>0.414</v>
      </c>
      <c r="I16" s="40" t="n"/>
      <c r="J16" s="40" t="n"/>
      <c r="K16" s="11" t="n">
        <v>3.17</v>
      </c>
      <c r="L16" s="11" t="n">
        <v>2.96</v>
      </c>
      <c r="M16" s="15" t="inlineStr">
        <is>
          <t>皮髓质回声欠均匀</t>
        </is>
      </c>
      <c r="N16" s="27" t="n">
        <v>3.25</v>
      </c>
      <c r="O16" s="15" t="n"/>
      <c r="P16" s="15" t="inlineStr">
        <is>
          <t>甲硝唑3天</t>
        </is>
      </c>
      <c r="Q16" s="0" t="inlineStr">
        <is>
          <t>果果</t>
        </is>
      </c>
    </row>
    <row r="17" ht="16.5" customHeight="1" s="36">
      <c r="B17" s="8" t="n">
        <v>45647</v>
      </c>
      <c r="C17" s="21">
        <f>2.8*88.4</f>
        <v/>
      </c>
      <c r="D17" s="21" t="n">
        <v>62</v>
      </c>
      <c r="E17" s="22">
        <f>10*0.25</f>
        <v/>
      </c>
      <c r="F17" s="22">
        <f>4.1/3.1</f>
        <v/>
      </c>
      <c r="G17" s="22" t="n"/>
      <c r="H17" s="25" t="inlineStr">
        <is>
          <t>复查未检查</t>
        </is>
      </c>
      <c r="N17" s="27" t="n">
        <v>3.33</v>
      </c>
      <c r="O17" s="15" t="n"/>
      <c r="P17" s="15" t="inlineStr">
        <is>
          <t>沙司多芬3个月</t>
        </is>
      </c>
      <c r="Q17" s="0" t="inlineStr">
        <is>
          <t>果果</t>
        </is>
      </c>
    </row>
    <row r="18" ht="16.5" customHeight="1" s="36">
      <c r="A18" s="31" t="inlineStr">
        <is>
          <t>输尿管梗阻</t>
        </is>
      </c>
      <c r="B18" s="8" t="n">
        <v>45669</v>
      </c>
      <c r="C18" s="17" t="n">
        <v>437.8</v>
      </c>
      <c r="D18" s="17" t="n">
        <v>75.37913828385614</v>
      </c>
      <c r="E18" s="22" t="n">
        <v>2.85</v>
      </c>
      <c r="F18" s="22" t="n">
        <v>1.65</v>
      </c>
      <c r="G18" s="22" t="n"/>
      <c r="H18" s="24" t="n">
        <v>0.421</v>
      </c>
      <c r="I18" s="22" t="n">
        <v>1.29</v>
      </c>
      <c r="J18" s="11" t="n">
        <v>5</v>
      </c>
      <c r="K18" s="43" t="inlineStr">
        <is>
          <t>复查未检查</t>
        </is>
      </c>
      <c r="N18" s="27" t="n">
        <v>3.33</v>
      </c>
      <c r="O18" s="15" t="inlineStr">
        <is>
          <t>SAA24.5</t>
        </is>
      </c>
      <c r="P18" s="15" t="n"/>
      <c r="Q18" s="0" t="inlineStr">
        <is>
          <t>盛泰</t>
        </is>
      </c>
    </row>
    <row r="19" ht="16.5" customHeight="1" s="36">
      <c r="B19" s="8" t="n">
        <v>45673</v>
      </c>
      <c r="C19" s="9">
        <f>4.2*88.4</f>
        <v/>
      </c>
      <c r="D19" s="9" t="n">
        <v>64</v>
      </c>
      <c r="E19" s="28">
        <f>10.7*0.25</f>
        <v/>
      </c>
      <c r="F19" s="22">
        <f>4.5*0.3229</f>
        <v/>
      </c>
      <c r="G19" s="22" t="n"/>
      <c r="H19" s="12" t="n">
        <v>0.397</v>
      </c>
      <c r="I19" s="23" t="n">
        <v>1.36</v>
      </c>
      <c r="J19" s="11" t="n">
        <v>4.65</v>
      </c>
      <c r="K19" s="11" t="inlineStr">
        <is>
          <t>3.9/肾盂0.82</t>
        </is>
      </c>
      <c r="L19" s="11" t="inlineStr">
        <is>
          <t>3.42/肾盂0.24</t>
        </is>
      </c>
      <c r="M19" s="11" t="inlineStr">
        <is>
          <t>左侧输尿管0.24</t>
        </is>
      </c>
      <c r="N19" s="27" t="n">
        <v>3.4</v>
      </c>
      <c r="O19" s="15" t="inlineStr">
        <is>
          <t>SAA,FPL正常,尿比重1.018,upc&lt;0.2,尿液送检无菌</t>
        </is>
      </c>
      <c r="P19" s="15" t="n"/>
      <c r="Q19" s="0" t="inlineStr">
        <is>
          <t>顽皮</t>
        </is>
      </c>
    </row>
    <row r="20" ht="16.5" customHeight="1" s="36">
      <c r="B20" s="8" t="n">
        <v>45677</v>
      </c>
      <c r="C20" s="25" t="inlineStr">
        <is>
          <t>只做了腹部B超</t>
        </is>
      </c>
      <c r="K20" s="11" t="n">
        <v>3.94</v>
      </c>
      <c r="L20" s="11" t="n">
        <v>3.58</v>
      </c>
      <c r="M20" s="11" t="inlineStr">
        <is>
          <t>左侧输尿管0.47，右侧输尿管0.19</t>
        </is>
      </c>
      <c r="N20" s="27" t="n">
        <v>3.4</v>
      </c>
      <c r="O20" s="15" t="n"/>
      <c r="P20" s="15" t="n"/>
      <c r="Q20" s="0" t="inlineStr">
        <is>
          <t>辂阳</t>
        </is>
      </c>
    </row>
    <row r="21" ht="16.5" customHeight="1" s="36">
      <c r="B21" s="8" t="n">
        <v>45679</v>
      </c>
      <c r="C21" s="9">
        <f>3.5*88.4</f>
        <v/>
      </c>
      <c r="D21" s="9" t="n">
        <v>59</v>
      </c>
      <c r="E21" s="28">
        <f>10.7*0.25</f>
        <v/>
      </c>
      <c r="F21" s="22">
        <f>4.3*0.3229</f>
        <v/>
      </c>
      <c r="G21" s="22" t="n"/>
      <c r="H21" s="12" t="n">
        <v>0.28</v>
      </c>
      <c r="I21" s="28" t="n">
        <v>1.35</v>
      </c>
      <c r="J21" s="29" t="n">
        <v>4.9</v>
      </c>
      <c r="K21" s="11" t="inlineStr">
        <is>
          <t>3.98/肾盂0.92</t>
        </is>
      </c>
      <c r="L21" s="11" t="inlineStr">
        <is>
          <t>3.27/肾盂0.39</t>
        </is>
      </c>
      <c r="M21" s="11" t="inlineStr">
        <is>
          <t>左侧输尿管0.38</t>
        </is>
      </c>
      <c r="N21" s="27" t="n">
        <v>3.4</v>
      </c>
      <c r="O21" s="15" t="n"/>
      <c r="P21" s="15" t="n"/>
      <c r="Q21" s="0" t="inlineStr">
        <is>
          <t>安安彭峰</t>
        </is>
      </c>
    </row>
    <row r="22" ht="16.5" customHeight="1" s="36">
      <c r="B22" s="8" t="n">
        <v>45689</v>
      </c>
      <c r="C22" s="9">
        <f>3.4*88.4</f>
        <v/>
      </c>
      <c r="D22" s="9" t="n">
        <v>56</v>
      </c>
      <c r="E22" s="28">
        <f>10.2*0.25</f>
        <v/>
      </c>
      <c r="F22" s="22">
        <f>4.6*0.3229</f>
        <v/>
      </c>
      <c r="G22" s="22" t="n"/>
      <c r="H22" s="12" t="n">
        <v>0.304</v>
      </c>
      <c r="I22" s="28" t="n">
        <v>1.28</v>
      </c>
      <c r="J22" s="11" t="n">
        <v>3.9</v>
      </c>
      <c r="K22" s="11" t="n"/>
      <c r="L22" s="11" t="n"/>
      <c r="M22" s="11" t="n"/>
      <c r="N22" s="27" t="n">
        <v>3.45</v>
      </c>
      <c r="O22" s="15" t="n"/>
      <c r="P22" s="15" t="n"/>
      <c r="Q22" s="0" t="inlineStr">
        <is>
          <t>安安彭峰</t>
        </is>
      </c>
    </row>
    <row r="23" ht="16.5" customHeight="1" s="36">
      <c r="B23" s="8" t="n">
        <v>45703</v>
      </c>
      <c r="C23" s="9">
        <f>3*88.4</f>
        <v/>
      </c>
      <c r="D23" s="9" t="n">
        <v>68</v>
      </c>
      <c r="E23" s="30" t="n"/>
      <c r="F23" s="22">
        <f>4.4*0.3229</f>
        <v/>
      </c>
      <c r="G23" s="22" t="n"/>
      <c r="H23" s="12" t="n">
        <v>0.26</v>
      </c>
      <c r="I23" s="28" t="n">
        <v>1.32</v>
      </c>
      <c r="J23" s="11" t="n">
        <v>3.9</v>
      </c>
      <c r="K23" s="11" t="inlineStr">
        <is>
          <t>3.53/肾盂1.18</t>
        </is>
      </c>
      <c r="L23" s="11" t="inlineStr">
        <is>
          <t>3.69/肾盂0.36</t>
        </is>
      </c>
      <c r="M23" s="11" t="inlineStr">
        <is>
          <t>左侧输尿管0.42</t>
        </is>
      </c>
      <c r="N23" s="27" t="n">
        <v>3.44</v>
      </c>
      <c r="O23" s="15" t="n"/>
      <c r="P23" s="15" t="inlineStr">
        <is>
          <t>莫里斯他1个月</t>
        </is>
      </c>
      <c r="Q23" s="0" t="inlineStr">
        <is>
          <t>安安彭峰</t>
        </is>
      </c>
    </row>
    <row r="24" ht="16.5" customHeight="1" s="36">
      <c r="B24" s="8" t="n">
        <v>45706</v>
      </c>
      <c r="C24" s="25" t="inlineStr">
        <is>
          <t>只做了腹部B超</t>
        </is>
      </c>
      <c r="K24" s="11" t="inlineStr">
        <is>
          <t>3.2/肾盂1.22</t>
        </is>
      </c>
      <c r="L24" s="11" t="inlineStr">
        <is>
          <t>3.23/肾盂0.35</t>
        </is>
      </c>
      <c r="M24" s="11" t="inlineStr">
        <is>
          <t>左侧输尿管0.37</t>
        </is>
      </c>
      <c r="N24" s="27" t="n">
        <v>3.46</v>
      </c>
      <c r="O24" s="15" t="n"/>
      <c r="P24" s="15" t="n"/>
      <c r="Q24" s="0" t="inlineStr">
        <is>
          <t>吾家宝山</t>
        </is>
      </c>
    </row>
    <row r="25" ht="16.5" customHeight="1" s="36">
      <c r="B25" s="8" t="n">
        <v>45710</v>
      </c>
      <c r="C25" s="25" t="inlineStr">
        <is>
          <t>只做了腹部B超和尿检</t>
        </is>
      </c>
      <c r="K25" s="11" t="inlineStr">
        <is>
          <t>3.81/肾盂1.91</t>
        </is>
      </c>
      <c r="L25" s="11" t="inlineStr">
        <is>
          <t>3.43/肾盂0.52</t>
        </is>
      </c>
      <c r="M25" s="11" t="inlineStr">
        <is>
          <t>左侧输尿管扩张0.35</t>
        </is>
      </c>
      <c r="N25" s="27" t="n">
        <v>3.44</v>
      </c>
      <c r="O25" s="15" t="inlineStr">
        <is>
          <t>UPC&lt;0.2,尿比重1.015</t>
        </is>
      </c>
      <c r="P25" s="15" t="n"/>
      <c r="Q25" s="0" t="inlineStr">
        <is>
          <t>静焱</t>
        </is>
      </c>
    </row>
    <row r="26" ht="16.5" customHeight="1" s="36">
      <c r="B26" s="8" t="n">
        <v>45717</v>
      </c>
      <c r="C26" s="9">
        <f>3.3*88.4</f>
        <v/>
      </c>
      <c r="D26" s="9" t="n">
        <v>69</v>
      </c>
      <c r="E26" s="30" t="n"/>
      <c r="F26" s="22">
        <f>4.9*0.3229</f>
        <v/>
      </c>
      <c r="G26" s="22" t="n"/>
      <c r="H26" s="12" t="n">
        <v>0.257</v>
      </c>
      <c r="I26" s="28" t="n">
        <v>1.33</v>
      </c>
      <c r="J26" s="11" t="n">
        <v>3.9</v>
      </c>
      <c r="K26" s="11" t="inlineStr">
        <is>
          <t>3.35/肾盂1.17</t>
        </is>
      </c>
      <c r="L26" s="11" t="inlineStr">
        <is>
          <t>3.36/肾盂0.31</t>
        </is>
      </c>
      <c r="M26" s="11" t="inlineStr">
        <is>
          <t>左侧输尿管扩张0.34</t>
        </is>
      </c>
      <c r="N26" s="27" t="n">
        <v>3.46</v>
      </c>
      <c r="O26" s="15" t="inlineStr">
        <is>
          <t>尿液送检无菌</t>
        </is>
      </c>
      <c r="P26" s="15" t="inlineStr">
        <is>
          <t>哌唑嗪1个月</t>
        </is>
      </c>
      <c r="Q26" s="0" t="inlineStr">
        <is>
          <t>安安彭峰</t>
        </is>
      </c>
    </row>
    <row r="27" ht="16.5" customHeight="1" s="36">
      <c r="B27" s="8" t="n">
        <v>45723</v>
      </c>
      <c r="C27" s="25" t="inlineStr">
        <is>
          <t>只做了腹部B超</t>
        </is>
      </c>
      <c r="K27" s="11" t="inlineStr">
        <is>
          <t>3.53/肾盂1.43</t>
        </is>
      </c>
      <c r="L27" s="11" t="inlineStr">
        <is>
          <t>3.53/肾盂0.49</t>
        </is>
      </c>
      <c r="M27" s="11" t="inlineStr">
        <is>
          <t>左侧输尿管0.4</t>
        </is>
      </c>
      <c r="N27" s="27" t="n">
        <v>3.4</v>
      </c>
      <c r="O27" s="15" t="n"/>
      <c r="P27" s="15" t="n"/>
      <c r="Q27" s="0" t="inlineStr">
        <is>
          <t>瑞安宠物</t>
        </is>
      </c>
    </row>
    <row r="28" ht="16.5" customHeight="1" s="36">
      <c r="B28" s="8" t="n">
        <v>45731</v>
      </c>
      <c r="C28" s="9">
        <f>3.3*88.4</f>
        <v/>
      </c>
      <c r="D28" s="17" t="n">
        <v>72</v>
      </c>
      <c r="E28" s="30" t="n"/>
      <c r="F28" s="22">
        <f>4.3*0.3229</f>
        <v/>
      </c>
      <c r="G28" s="22" t="n"/>
      <c r="H28" s="12" t="n">
        <v>0.313</v>
      </c>
      <c r="I28" s="28" t="n">
        <v>1.29</v>
      </c>
      <c r="J28" s="11" t="n">
        <v>4</v>
      </c>
      <c r="K28" s="11" t="n">
        <v>3.2</v>
      </c>
      <c r="L28" s="11" t="n">
        <v>3.4</v>
      </c>
      <c r="M28" s="11" t="n"/>
      <c r="N28" s="27" t="n">
        <v>3.4</v>
      </c>
      <c r="O28" s="15" t="n"/>
      <c r="P28" s="15" t="inlineStr">
        <is>
          <t>泼尼松龙2周</t>
        </is>
      </c>
      <c r="Q28" s="0" t="inlineStr">
        <is>
          <t>安安彭峰</t>
        </is>
      </c>
    </row>
    <row r="29" ht="16.5" customHeight="1" s="36">
      <c r="B29" s="8" t="n">
        <v>45751</v>
      </c>
      <c r="C29" s="9">
        <f>2.9*88.4</f>
        <v/>
      </c>
      <c r="D29" s="9" t="n">
        <v>55</v>
      </c>
      <c r="E29" s="30" t="n"/>
      <c r="F29" s="30" t="n"/>
      <c r="G29" s="30" t="n"/>
      <c r="H29" s="12" t="n">
        <v>0.294</v>
      </c>
      <c r="I29" s="28" t="n">
        <v>1.32</v>
      </c>
      <c r="J29" s="11" t="n">
        <v>4.4</v>
      </c>
      <c r="K29" s="11" t="inlineStr">
        <is>
          <t>3.34/肾盂1.42</t>
        </is>
      </c>
      <c r="L29" s="11" t="inlineStr">
        <is>
          <t>3.39/肾盂0.262</t>
        </is>
      </c>
      <c r="M29" s="11" t="inlineStr">
        <is>
          <t>左侧输尿管扩张0.5</t>
        </is>
      </c>
      <c r="N29" s="27" t="n">
        <v>3.38</v>
      </c>
      <c r="O29" s="15" t="inlineStr">
        <is>
          <t>甲状腺送检4项正常</t>
        </is>
      </c>
      <c r="P29" s="15" t="inlineStr">
        <is>
          <t>坦索罗辛3个月</t>
        </is>
      </c>
      <c r="Q29" s="0" t="inlineStr">
        <is>
          <t>宠福来</t>
        </is>
      </c>
    </row>
    <row r="30" ht="16.5" customHeight="1" s="36">
      <c r="B30" s="8" t="n">
        <v>45780</v>
      </c>
      <c r="C30" s="9">
        <f>3.5*88.4</f>
        <v/>
      </c>
      <c r="D30" s="9" t="n">
        <v>60</v>
      </c>
      <c r="E30" s="30" t="n"/>
      <c r="F30" s="22">
        <f>4.5*0.3229</f>
        <v/>
      </c>
      <c r="G30" s="22" t="n"/>
      <c r="H30" s="12" t="n">
        <v>0.291</v>
      </c>
      <c r="I30" s="28" t="n">
        <v>1.21</v>
      </c>
      <c r="J30" s="11" t="n">
        <v>3.7</v>
      </c>
      <c r="K30" s="11" t="inlineStr">
        <is>
          <t>2.77/肾盂0.54</t>
        </is>
      </c>
      <c r="L30" s="11" t="inlineStr">
        <is>
          <t>3.48/肾盂0.31</t>
        </is>
      </c>
      <c r="M30" s="11" t="n"/>
      <c r="N30" s="27" t="n">
        <v>3.45</v>
      </c>
      <c r="O30" s="15" t="n"/>
      <c r="P30" s="15" t="n"/>
      <c r="Q30" s="0" t="inlineStr">
        <is>
          <t>安安鹏峰</t>
        </is>
      </c>
    </row>
    <row r="31" ht="16.5" customHeight="1" s="36">
      <c r="A31" s="31" t="inlineStr">
        <is>
          <t>出血性肠炎</t>
        </is>
      </c>
      <c r="B31" s="8" t="n">
        <v>45787</v>
      </c>
      <c r="C31" s="9" t="n">
        <v>308</v>
      </c>
      <c r="D31" s="9" t="n">
        <v>33.91921060746223</v>
      </c>
      <c r="E31" s="30" t="n"/>
      <c r="F31" s="30" t="n"/>
      <c r="G31" s="30" t="n"/>
      <c r="H31" s="32" t="n">
        <v>0.216</v>
      </c>
      <c r="I31" s="43" t="inlineStr">
        <is>
          <t>未检查</t>
        </is>
      </c>
      <c r="N31" s="27" t="n">
        <v>3.28</v>
      </c>
      <c r="O31" s="15" t="inlineStr">
        <is>
          <t>SAA106</t>
        </is>
      </c>
      <c r="P31" s="15" t="inlineStr">
        <is>
          <t>莫里斯他1个月</t>
        </is>
      </c>
      <c r="Q31" s="0" t="inlineStr">
        <is>
          <t>朵拉维特</t>
        </is>
      </c>
    </row>
    <row r="32" ht="16.5" customHeight="1" s="36">
      <c r="A32" s="20" t="inlineStr">
        <is>
          <t>常规CKD复查
慢性呕吐</t>
        </is>
      </c>
      <c r="B32" s="8" t="n">
        <v>45809</v>
      </c>
      <c r="C32" s="9" t="n">
        <v>302</v>
      </c>
      <c r="D32" s="9" t="n">
        <v>65.31550472346032</v>
      </c>
      <c r="E32" s="28" t="n">
        <v>2.5</v>
      </c>
      <c r="F32" s="22">
        <f>1.43</f>
        <v/>
      </c>
      <c r="G32" s="22" t="n"/>
      <c r="H32" s="12" t="n">
        <v>0.392</v>
      </c>
      <c r="I32" s="30" t="n"/>
      <c r="J32" s="11" t="n"/>
      <c r="K32" s="11" t="inlineStr">
        <is>
          <t>2.8/肾盂0.4</t>
        </is>
      </c>
      <c r="L32" s="11" t="inlineStr">
        <is>
          <t>3.3/肾盂0.3</t>
        </is>
      </c>
      <c r="M32" s="11" t="n"/>
      <c r="N32" s="27" t="n">
        <v>3.3</v>
      </c>
      <c r="O32" s="15" t="inlineStr">
        <is>
          <t>尿比重1.016,SAA正常</t>
        </is>
      </c>
      <c r="P32" s="15" t="n"/>
      <c r="Q32" s="0" t="inlineStr">
        <is>
          <t>辛巴</t>
        </is>
      </c>
    </row>
    <row r="33" ht="33" customHeight="1" s="36">
      <c r="B33" s="8" t="n">
        <v>45836</v>
      </c>
      <c r="C33" s="25" t="inlineStr">
        <is>
          <t>年度心脏检查</t>
        </is>
      </c>
      <c r="K33" s="11" t="inlineStr">
        <is>
          <t>3.01/肾盂0.53</t>
        </is>
      </c>
      <c r="L33" s="11" t="inlineStr">
        <is>
          <t>3.44/肾盂0.47</t>
        </is>
      </c>
      <c r="M33" s="11" t="inlineStr">
        <is>
          <t>左侧输尿管0.19,
左肾上腺尾极0.34；右肾上腺尾极0.31</t>
        </is>
      </c>
      <c r="N33" s="27" t="n">
        <v>3.45</v>
      </c>
      <c r="O33" s="35" t="inlineStr">
        <is>
          <t>血压正常，存在暂未影响心功能的主动脉下假腱
慢性支气管炎</t>
        </is>
      </c>
      <c r="P33" s="15" t="n"/>
      <c r="Q33" s="0" t="inlineStr">
        <is>
          <t>辂阳</t>
        </is>
      </c>
    </row>
    <row r="34" ht="16.5" customHeight="1" s="36">
      <c r="B34" s="8" t="n">
        <v>45850</v>
      </c>
      <c r="C34" s="9">
        <f>3.2*88.4</f>
        <v/>
      </c>
      <c r="D34" s="9" t="n">
        <v>64</v>
      </c>
      <c r="E34" s="30" t="n"/>
      <c r="F34" s="22">
        <f>4.6*0.3229</f>
        <v/>
      </c>
      <c r="G34" s="22" t="n"/>
      <c r="H34" s="12" t="n">
        <v>0.42</v>
      </c>
      <c r="I34" s="28" t="n">
        <v>1.31</v>
      </c>
      <c r="J34" s="11" t="n">
        <v>4.5</v>
      </c>
      <c r="K34" s="11" t="inlineStr">
        <is>
          <t>2.51/肾盂0.51</t>
        </is>
      </c>
      <c r="L34" s="11" t="n">
        <v>3.14</v>
      </c>
      <c r="M34" s="11" t="n"/>
      <c r="N34" s="27" t="n">
        <v>3.43</v>
      </c>
      <c r="O34" s="15" t="n"/>
      <c r="P34" s="15" t="n"/>
      <c r="Q34" s="0" t="inlineStr">
        <is>
          <t>安安鹏峰</t>
        </is>
      </c>
    </row>
    <row r="35" ht="16.5" customHeight="1" s="36">
      <c r="B35" s="8" t="n">
        <v>45861</v>
      </c>
      <c r="C35" s="25" t="inlineStr">
        <is>
          <t>只做了腹部B超</t>
        </is>
      </c>
      <c r="K35" s="11" t="inlineStr">
        <is>
          <t>2.49/肾盂0.83</t>
        </is>
      </c>
      <c r="L35" s="11" t="inlineStr">
        <is>
          <t>3.22/肾盂0.28</t>
        </is>
      </c>
      <c r="M35" s="11" t="inlineStr">
        <is>
          <t>左肾RI0.63，右肾RI0.47</t>
        </is>
      </c>
      <c r="N35" s="27" t="n">
        <v>3.45</v>
      </c>
      <c r="O35" s="15" t="n"/>
      <c r="P35" s="15" t="n"/>
      <c r="Q35" s="0" t="inlineStr">
        <is>
          <t>良辰</t>
        </is>
      </c>
    </row>
    <row r="36" ht="16.5" customHeight="1" s="36">
      <c r="B36" s="8" t="n">
        <v>45878</v>
      </c>
      <c r="C36" s="25" t="inlineStr">
        <is>
          <t>只做了腹部B超</t>
        </is>
      </c>
      <c r="K36" s="11" t="inlineStr">
        <is>
          <t>2.57/肾盂0.81</t>
        </is>
      </c>
      <c r="L36" s="11" t="inlineStr">
        <is>
          <t>3.08/肾盂0.46</t>
        </is>
      </c>
      <c r="M36" s="11" t="inlineStr">
        <is>
          <t>左侧输尿管0.33</t>
        </is>
      </c>
      <c r="N36" s="27" t="n">
        <v>3.43</v>
      </c>
      <c r="O36" s="15" t="n"/>
      <c r="P36" s="15" t="n"/>
      <c r="Q36" s="0" t="inlineStr">
        <is>
          <t>良辰</t>
        </is>
      </c>
    </row>
    <row r="37" ht="16.5" customHeight="1" s="36">
      <c r="B37" s="8" t="n">
        <v>45906</v>
      </c>
      <c r="C37" s="9" t="n">
        <v>382</v>
      </c>
      <c r="D37" s="9" t="n">
        <v>63.35323634121045</v>
      </c>
      <c r="E37" s="30" t="n"/>
      <c r="F37" s="22" t="n">
        <v>1.4</v>
      </c>
      <c r="G37" s="22" t="n"/>
      <c r="H37" s="12" t="n">
        <v>0.3189</v>
      </c>
      <c r="I37" s="28" t="n">
        <v>1.32</v>
      </c>
      <c r="J37" s="11" t="n">
        <v>4.2</v>
      </c>
      <c r="K37" s="11" t="inlineStr">
        <is>
          <t>2.5/肾盂0.33</t>
        </is>
      </c>
      <c r="L37" s="11" t="inlineStr">
        <is>
          <t>3.05/肾盂0.28</t>
        </is>
      </c>
      <c r="M37" s="11" t="n"/>
      <c r="N37" s="27" t="n">
        <v>3.55</v>
      </c>
      <c r="O37" s="15" t="inlineStr">
        <is>
          <t>UPC&lt;0.2,尿比重1.02,SAA正常</t>
        </is>
      </c>
      <c r="P37" s="15" t="n"/>
      <c r="Q37" s="0" t="inlineStr">
        <is>
          <t>吾家徐汇</t>
        </is>
      </c>
    </row>
    <row r="38" ht="16.5" customHeight="1" s="36">
      <c r="B38" s="8" t="n">
        <v>45990</v>
      </c>
      <c r="C38" s="9" t="n">
        <v>293</v>
      </c>
      <c r="D38" s="9" t="n">
        <v>57.4664311944608</v>
      </c>
      <c r="E38" s="28" t="n">
        <v>2.59</v>
      </c>
      <c r="F38" s="22" t="n">
        <v>1.44</v>
      </c>
      <c r="G38" s="22" t="n"/>
      <c r="H38" s="12" t="n">
        <v>0.238</v>
      </c>
      <c r="I38" s="30" t="n"/>
      <c r="J38" s="11" t="n"/>
      <c r="K38" s="11" t="inlineStr">
        <is>
          <t>2.47/肾盂0.23</t>
        </is>
      </c>
      <c r="L38" s="11" t="inlineStr">
        <is>
          <t>3.09/肾盂0.33</t>
        </is>
      </c>
      <c r="M38" s="11" t="n"/>
      <c r="N38" s="27" t="n">
        <v>3.45</v>
      </c>
      <c r="O38" s="15" t="n"/>
      <c r="P38" s="15" t="n"/>
      <c r="Q38" s="0" t="inlineStr">
        <is>
          <t>吾家徐汇</t>
        </is>
      </c>
    </row>
    <row r="39" ht="16.5" customHeight="1" s="36">
      <c r="B39" s="8" t="n">
        <v>46046</v>
      </c>
      <c r="C39" s="9">
        <f>3.1*88.4</f>
        <v/>
      </c>
      <c r="D39" s="9" t="n">
        <v>69</v>
      </c>
      <c r="E39" s="30" t="n"/>
      <c r="F39" s="22">
        <f>4.6*0.3229</f>
        <v/>
      </c>
      <c r="G39" s="22" t="n"/>
      <c r="H39" s="12" t="n">
        <v>0.436</v>
      </c>
      <c r="I39" s="28" t="n">
        <v>1.35</v>
      </c>
      <c r="J39" s="11" t="n"/>
      <c r="K39" s="11" t="inlineStr">
        <is>
          <t>2.69/肾盂0.36</t>
        </is>
      </c>
      <c r="L39" s="11" t="inlineStr">
        <is>
          <t>3.1/肾盂0.37</t>
        </is>
      </c>
      <c r="M39" s="11" t="n"/>
      <c r="N39" s="27" t="n">
        <v>3.44</v>
      </c>
      <c r="O39" s="15" t="n"/>
      <c r="P39" s="15" t="n"/>
      <c r="Q39" s="0" t="inlineStr">
        <is>
          <t>安安鹏峰</t>
        </is>
      </c>
    </row>
    <row r="40" ht="16.5" customHeight="1" s="36">
      <c r="B40" s="8" t="n">
        <v>46109</v>
      </c>
      <c r="C40" s="9">
        <f>2.9*88.4</f>
        <v/>
      </c>
      <c r="D40" s="9" t="n">
        <v>60</v>
      </c>
      <c r="E40" s="28">
        <f>10*0.25</f>
        <v/>
      </c>
      <c r="F40" s="22">
        <f>4.6*0.3229</f>
        <v/>
      </c>
      <c r="G40" s="22" t="inlineStr">
        <is>
          <t>ALT136</t>
        </is>
      </c>
      <c r="H40" s="12" t="n">
        <v>0.437</v>
      </c>
      <c r="I40" s="28" t="n">
        <v>1.33</v>
      </c>
      <c r="J40" s="11" t="n"/>
      <c r="K40" s="11" t="n">
        <v>2.52</v>
      </c>
      <c r="L40" s="11" t="inlineStr">
        <is>
          <t>3.05/肾盂0.34</t>
        </is>
      </c>
      <c r="M40" s="11" t="inlineStr">
        <is>
          <t>空肠、回肠局段黏膜下次增厚</t>
        </is>
      </c>
      <c r="N40" s="27" t="n">
        <v>3.44</v>
      </c>
      <c r="O40" s="15" t="inlineStr">
        <is>
          <t>UPC&lt;0.2,尿比重1.016</t>
        </is>
      </c>
      <c r="P40" s="15" t="inlineStr">
        <is>
          <t>噬菌体1个月</t>
        </is>
      </c>
      <c r="Q40" s="0" t="inlineStr">
        <is>
          <t>安安鹏峰</t>
        </is>
      </c>
    </row>
    <row r="41" ht="16.5" customHeight="1" s="36">
      <c r="B41" s="8" t="n">
        <v>46160</v>
      </c>
      <c r="C41" s="9" t="n">
        <v>291</v>
      </c>
      <c r="D41" s="21">
        <f>23.8/0.35673</f>
        <v/>
      </c>
      <c r="E41" s="28" t="n">
        <v>2.32</v>
      </c>
      <c r="F41" s="22" t="n">
        <v>1.6</v>
      </c>
      <c r="G41" s="23" t="inlineStr">
        <is>
          <t>ALT196</t>
        </is>
      </c>
      <c r="H41" s="12" t="n">
        <v>0.409</v>
      </c>
      <c r="I41" s="23" t="n">
        <v>1.36</v>
      </c>
      <c r="J41" s="0" t="n">
        <v>4.2</v>
      </c>
      <c r="K41" s="25" t="inlineStr">
        <is>
          <t>未检查</t>
        </is>
      </c>
      <c r="N41" s="27" t="n">
        <v>3.69</v>
      </c>
      <c r="O41" s="15" t="inlineStr">
        <is>
          <t>FPL正常，餐前餐后胆汁酸正常</t>
        </is>
      </c>
      <c r="P41" s="15" t="inlineStr">
        <is>
          <t>丹诺士1个月</t>
        </is>
      </c>
      <c r="Q41" s="0" t="inlineStr">
        <is>
          <t>蓝石</t>
        </is>
      </c>
    </row>
    <row r="42" ht="16.5" customHeight="1" s="36">
      <c r="A42" s="20" t="inlineStr">
        <is>
          <t>FIC
反复出现症状</t>
        </is>
      </c>
      <c r="B42" s="8" t="n">
        <v>46177</v>
      </c>
      <c r="C42" s="9" t="n">
        <v>264</v>
      </c>
      <c r="D42" s="17">
        <f>25.3/0.35673</f>
        <v/>
      </c>
      <c r="E42" s="28" t="n">
        <v>2.44</v>
      </c>
      <c r="F42" s="22" t="n">
        <v>1.42</v>
      </c>
      <c r="G42" s="22" t="inlineStr">
        <is>
          <t>ALT107,甘油三脂&gt;4</t>
        </is>
      </c>
      <c r="H42" s="12" t="n">
        <v>0.401</v>
      </c>
      <c r="I42" s="28" t="n">
        <v>1.32</v>
      </c>
      <c r="J42" s="0" t="n">
        <v>4.1</v>
      </c>
      <c r="K42" s="0" t="n">
        <v>2.5</v>
      </c>
      <c r="L42" s="28" t="n">
        <v>3.3</v>
      </c>
      <c r="M42" s="0" t="inlineStr">
        <is>
          <t>膀胱壁轻度增厚，黏膜层欠平滑，回声升高</t>
        </is>
      </c>
      <c r="N42" s="27" t="n">
        <v>3.4</v>
      </c>
      <c r="O42" s="15" t="n"/>
      <c r="P42" s="15" t="inlineStr">
        <is>
          <t>沙司多芬，杜立德乐乐宝</t>
        </is>
      </c>
      <c r="Q42" s="0" t="inlineStr">
        <is>
          <t>辛巴</t>
        </is>
      </c>
    </row>
    <row r="43" ht="49.5" customHeight="1" s="36">
      <c r="B43" s="8" t="n">
        <v>46200</v>
      </c>
      <c r="C43" s="25" t="inlineStr">
        <is>
          <t>年度心脏检查</t>
        </is>
      </c>
      <c r="K43" s="11" t="inlineStr">
        <is>
          <t>2.73/肾盂0.22</t>
        </is>
      </c>
      <c r="L43" s="11" t="inlineStr">
        <is>
          <t>3.46/肾盂0.27</t>
        </is>
      </c>
      <c r="M43" s="33" t="inlineStr">
        <is>
          <t>膀胱表面不光滑，壁轻度增厚，
回肠及空肠肌层增厚，回肠肌层0.19cm全层0.29cm，
肌层厚度与全层厚度比例大于1/2，比例失调</t>
        </is>
      </c>
      <c r="N43" s="27" t="n">
        <v>3.42</v>
      </c>
      <c r="O43" s="35" t="inlineStr">
        <is>
          <t>血压正常，存在暂未影响心功能的主动脉下假腱
慢性支气管炎</t>
        </is>
      </c>
      <c r="P43" s="15" t="n"/>
      <c r="Q43" s="0" t="inlineStr">
        <is>
          <t>辂阳</t>
        </is>
      </c>
    </row>
    <row r="44" ht="16.5" customHeight="1" s="36">
      <c r="P44" s="15" t="n"/>
    </row>
  </sheetData>
  <mergeCells count="37">
    <mergeCell ref="K41:M41"/>
    <mergeCell ref="I3:M4"/>
    <mergeCell ref="C33:J33"/>
    <mergeCell ref="C24:J24"/>
    <mergeCell ref="E9:M9"/>
    <mergeCell ref="A16:A17"/>
    <mergeCell ref="H17:M17"/>
    <mergeCell ref="H11:M11"/>
    <mergeCell ref="O1:O2"/>
    <mergeCell ref="Q1:Q2"/>
    <mergeCell ref="C35:J35"/>
    <mergeCell ref="C20:J20"/>
    <mergeCell ref="C25:J25"/>
    <mergeCell ref="K14:M14"/>
    <mergeCell ref="C1:G1"/>
    <mergeCell ref="B1:B2"/>
    <mergeCell ref="A18:A30"/>
    <mergeCell ref="N1:N2"/>
    <mergeCell ref="C43:J43"/>
    <mergeCell ref="A42:A43"/>
    <mergeCell ref="I6:M7"/>
    <mergeCell ref="C36:J36"/>
    <mergeCell ref="K18:M18"/>
    <mergeCell ref="C27:J27"/>
    <mergeCell ref="A11:A15"/>
    <mergeCell ref="A1:A2"/>
    <mergeCell ref="I1:J1"/>
    <mergeCell ref="A6:A10"/>
    <mergeCell ref="E6:G7"/>
    <mergeCell ref="K15:M15"/>
    <mergeCell ref="K5:M5"/>
    <mergeCell ref="A3:A5"/>
    <mergeCell ref="I13:M13"/>
    <mergeCell ref="A32:A41"/>
    <mergeCell ref="I31:M31"/>
    <mergeCell ref="P1:P2"/>
    <mergeCell ref="K1:M1"/>
  </mergeCells>
  <pageMargins left="0.7" right="0.7" top="0.75" bottom="0.75" header="0.3" footer="0.3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2026-07-29T06:38:41Z</dcterms:created>
  <dcterms:modified xsi:type="dcterms:W3CDTF">2026-07-29T07:57:11Z</dcterms:modified>
  <cp:lastModifiedBy>USER</cp:lastModifiedBy>
</cp:coreProperties>
</file>